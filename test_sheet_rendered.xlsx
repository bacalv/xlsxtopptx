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Funding Requests" sheetId="1" r:id="rId4"/>
  </sheets>
  <definedNames>
    <definedName name="COL_B_VALUES">'Funding Requests'!$B$4:$B$8</definedName>
    <definedName name="COL_C_VALUES">'Funding Requests'!$C$4:$C$8</definedName>
    <definedName name="COL_D_VALUES">'Funding Requests'!$D$4:$D$8</definedName>
    <definedName name="COL_E_VALUES">'Funding Requests'!$E$4:$E$8</definedName>
    <definedName name="COL_F_VALUES">'Funding Requests'!$F$4:$F$8</definedName>
    <definedName name="COL_G_VALUES">'Funding Requests'!$G$4:$G$8</definedName>
    <definedName name="COL_I_VALUES">'Funding Requests'!$I$4:$I$8</definedName>
    <definedName name="COL_J_VALUES">'Funding Requests'!$J$4:$J$8</definedName>
    <definedName name="COL_K_VALUES">'Funding Requests'!$K$4:$K$8</definedName>
    <definedName name="COL_L_VALUES">'Funding Requests'!$L$4:$L$8</definedName>
    <definedName name="COL_M_VALUES">'Funding Requests'!$M$4:$M$8</definedName>
    <definedName name="COL_N_VALUES">'Funding Requests'!$N$4:$N$8</definedName>
  </definedNames>
  <calcPr fullCalcOnLoad="true"/>
  <extLst>
    <ext uri="GoogleSheetsCustomDataVersion2">
      <go:sheetsCustomData xmlns:go="http://customooxmlschemas.google.com/" r:id="rId5" roundtripDataChecksum="oBcFbWIqHS+gqJDyHrBL+JXVacX+548WexxENHv/6DA="/>
    </ext>
  </extLst>
</workbook>
</file>

<file path=xl/sharedStrings.xml><?xml version="1.0" encoding="utf-8"?>
<sst xmlns="http://schemas.openxmlformats.org/spreadsheetml/2006/main" count="46" uniqueCount="30">
  <si>
    <t>FY 2026 Forecast</t>
  </si>
  <si>
    <t>FY 2027 Plan</t>
  </si>
  <si>
    <t>Technology [L4] as Sponsor</t>
  </si>
  <si>
    <t>FY'26 Funding Requests as of July 18th 12am</t>
  </si>
  <si>
    <t>FY'27 Funding Requests as of July 18th 12am</t>
  </si>
  <si>
    <t>PS /BS</t>
  </si>
  <si>
    <t>CO</t>
  </si>
  <si>
    <t>Bus Mand</t>
  </si>
  <si>
    <t>Tech Mand</t>
  </si>
  <si>
    <t>C/PI/S</t>
  </si>
  <si>
    <t>Total</t>
  </si>
  <si>
    <t>%_TEMPLATE ROW BOLD</t>
  </si>
  <si>
    <t>%_0</t>
  </si>
  <si>
    <t>%_1</t>
  </si>
  <si>
    <t>%_2</t>
  </si>
  <si>
    <t>%_3</t>
  </si>
  <si>
    <t>%_4</t>
  </si>
  <si>
    <t>%_5</t>
  </si>
  <si>
    <t>%_6</t>
  </si>
  <si>
    <t>%_7</t>
  </si>
  <si>
    <t>%_8</t>
  </si>
  <si>
    <t>%_9</t>
  </si>
  <si>
    <t>%_TEMPLATE ROW BLANK</t>
  </si>
  <si>
    <t>%_TEMPLATE ROW</t>
  </si>
  <si>
    <t>Total App Dev Funding Requests</t>
  </si>
  <si>
    <t>Platform Modernization</t>
  </si>
  <si>
    <t>Checkout Revamp</t>
  </si>
  <si>
    <t>Fraud Detection ML</t>
  </si>
  <si>
    <t/>
  </si>
  <si>
    <t>Data Warehouse Migration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</si>
</sst>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-#,##0.00;&quot;-&quot;"/>
  </numFmts>
  <fonts count="5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1F6E"/>
        <bgColor rgb="FF1F1F6E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bottom style="thin">
        <color rgb="FFADD8E6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horizontal="right" readingOrder="0" vertical="center"/>
    </xf>
    <xf borderId="4" fillId="0" fontId="3" numFmtId="164" xfId="0" applyAlignment="1" applyBorder="1" applyFont="1" applyNumberFormat="1">
      <alignment horizontal="right" readingOrder="0" vertical="center"/>
    </xf>
    <xf borderId="4" fillId="0" fontId="3" numFmtId="164" xfId="0" applyAlignment="1" applyBorder="1" applyFont="1" applyNumberFormat="1">
      <alignment horizontal="right" vertical="center"/>
    </xf>
    <xf borderId="0" fillId="0" fontId="4" numFmtId="0" xfId="0" applyAlignment="1" applyFont="1">
      <alignment readingOrder="0"/>
    </xf>
    <xf borderId="4" fillId="0" fontId="4" numFmtId="0" xfId="0" applyAlignment="1" applyBorder="1" applyFont="1">
      <alignment horizontal="right" readingOrder="0" vertical="center"/>
    </xf>
    <xf borderId="4" fillId="0" fontId="4" numFmtId="164" xfId="0" applyAlignment="1" applyBorder="1" applyFont="1" applyNumberFormat="1">
      <alignment horizontal="right" readingOrder="0" vertical="center"/>
    </xf>
    <xf borderId="4" fillId="0" fontId="4" numFmtId="164" xfId="0" applyAlignment="1" applyBorder="1" applyFont="1" applyNumberFormat="1">
      <alignment horizontal="right" vertical="center"/>
    </xf>
    <xf borderId="5" fillId="2" fontId="1" numFmtId="0" xfId="0" applyBorder="1" applyFont="1"/>
    <xf borderId="5" fillId="2" fontId="1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N9"/>
  <sheetViews>
    <sheetView workbookViewId="0"/>
  </sheetViews>
  <sheetFormatPr customHeight="1" defaultColWidth="14.43" defaultRowHeight="15.0"/>
  <cols>
    <col min="1" max="1" customWidth="true" width="42.0"/>
    <col min="2" max="2" customWidth="true" width="11.0"/>
    <col min="3" max="3" customWidth="true" width="9.0"/>
    <col min="4" max="5" customWidth="true" width="11.0"/>
    <col min="6" max="7" customWidth="true" width="10.0"/>
    <col min="8" max="8" customWidth="true" width="3.0"/>
    <col min="9" max="9" customWidth="true" width="11.0"/>
    <col min="10" max="10" customWidth="true" width="9.0"/>
    <col min="11" max="12" customWidth="true" width="11.0"/>
    <col min="13" max="14" customWidth="true" width="10.0"/>
    <col min="15" max="26" customWidth="true" width="8.71"/>
  </cols>
  <sheetData>
    <row r="1">
      <c r="D1" s="1" t="s">
        <v>0</v>
      </c>
      <c r="E1" s="2"/>
      <c r="K1" s="1" t="s">
        <v>1</v>
      </c>
      <c r="L1" s="2"/>
    </row>
    <row r="2">
      <c r="A2" s="3" t="s">
        <v>2</v>
      </c>
      <c r="B2" s="1" t="s">
        <v>3</v>
      </c>
      <c r="C2" s="4"/>
      <c r="D2" s="4"/>
      <c r="E2" s="4"/>
      <c r="F2" s="4"/>
      <c r="G2" s="2"/>
      <c r="I2" s="1" t="s">
        <v>4</v>
      </c>
      <c r="J2" s="4"/>
      <c r="K2" s="4"/>
      <c r="L2" s="4"/>
      <c r="M2" s="4"/>
      <c r="N2" s="2"/>
    </row>
    <row r="3"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</row>
    <row r="4" ht="15.0" customHeight="true">
      <c r="A4" s="6" t="s">
        <v>25</v>
      </c>
      <c r="B4" s="7" t="n">
        <v>0.25</v>
      </c>
      <c r="C4" s="8" t="n">
        <v>23.0</v>
      </c>
      <c r="D4" s="8" t="n">
        <v>35.0</v>
      </c>
      <c r="E4" s="8" t="n">
        <v>23.0</v>
      </c>
      <c r="F4" s="8" t="n">
        <v>22.0</v>
      </c>
      <c r="G4" s="9" t="n">
        <f>sum(B4:F4)</f>
        <v>103.25</v>
      </c>
      <c r="I4" s="7" t="n">
        <v>11.0</v>
      </c>
      <c r="J4" s="8" t="n">
        <v>22.0</v>
      </c>
      <c r="K4" s="8" t="n">
        <v>33.0</v>
      </c>
      <c r="L4" s="8" t="n">
        <v>55.0</v>
      </c>
      <c r="M4" s="8" t="n">
        <v>44.63</v>
      </c>
      <c r="N4" s="9" t="n">
        <f>sum(I4:M4)</f>
        <v>165.63</v>
      </c>
    </row>
    <row r="5" ht="15.0" customHeight="true">
      <c r="A5" s="10" t="s">
        <v>26</v>
      </c>
      <c r="B5" s="11" t="n">
        <v>5.0</v>
      </c>
      <c r="C5" s="12" t="n">
        <v>12.0</v>
      </c>
      <c r="D5" s="12" t="n">
        <v>8.0</v>
      </c>
      <c r="E5" s="12" t="n">
        <v>4.0</v>
      </c>
      <c r="F5" s="12" t="n">
        <v>2.0</v>
      </c>
      <c r="G5" s="13" t="n">
        <f>sum(B5:F5)</f>
        <v>31.0</v>
      </c>
      <c r="I5" s="11" t="n">
        <v>6.0</v>
      </c>
      <c r="J5" s="12" t="n">
        <v>9.0</v>
      </c>
      <c r="K5" s="12" t="n">
        <v>3.0</v>
      </c>
      <c r="L5" s="12" t="n">
        <v>7.0</v>
      </c>
      <c r="M5" s="12" t="n">
        <v>1.0</v>
      </c>
      <c r="N5" s="13" t="n">
        <f>sum(I5:M5)</f>
        <v>26.0</v>
      </c>
    </row>
    <row r="6" ht="15.0" customHeight="true">
      <c r="A6" s="10" t="s">
        <v>27</v>
      </c>
      <c r="B6" s="11" t="n">
        <v>18.0</v>
      </c>
      <c r="C6" s="12" t="n">
        <v>4.0</v>
      </c>
      <c r="D6" s="12" t="n">
        <v>6.0</v>
      </c>
      <c r="E6" s="12" t="n">
        <v>9.0</v>
      </c>
      <c r="F6" s="12" t="n">
        <v>2.0</v>
      </c>
      <c r="G6" s="13" t="n">
        <f>sum(B6:F6)</f>
        <v>39.0</v>
      </c>
      <c r="I6" s="11" t="n">
        <v>14.0</v>
      </c>
      <c r="J6" s="12" t="n">
        <v>3.0</v>
      </c>
      <c r="K6" s="12" t="n">
        <v>5.0</v>
      </c>
      <c r="L6" s="12" t="n">
        <v>8.0</v>
      </c>
      <c r="M6" s="12" t="n">
        <v>1.0</v>
      </c>
      <c r="N6" s="13" t="n">
        <f>sum(I6:M6)</f>
        <v>31.0</v>
      </c>
    </row>
    <row r="7" ht="15.0" customHeight="true">
      <c r="A7" s="10" t="s">
        <v>28</v>
      </c>
    </row>
    <row r="8" ht="15.0" customHeight="true">
      <c r="A8" s="10" t="s">
        <v>29</v>
      </c>
      <c r="B8" s="11" t="n">
        <v>30.0</v>
      </c>
      <c r="C8" s="12" t="n">
        <v>10.0</v>
      </c>
      <c r="D8" s="12" t="n">
        <v>5.0</v>
      </c>
      <c r="E8" s="12" t="n">
        <v>5.0</v>
      </c>
      <c r="F8" s="12" t="n">
        <v>5.0</v>
      </c>
      <c r="G8" s="13" t="n">
        <f>sum(B8:F8)</f>
        <v>55.0</v>
      </c>
      <c r="I8" s="11" t="n">
        <v>20.0</v>
      </c>
      <c r="J8" s="12" t="n">
        <v>8.0</v>
      </c>
      <c r="K8" s="12" t="n">
        <v>4.0</v>
      </c>
      <c r="L8" s="12" t="n">
        <v>4.0</v>
      </c>
      <c r="M8" s="12" t="n">
        <v>4.0</v>
      </c>
      <c r="N8" s="13" t="n">
        <f>sum(I8:M8)</f>
        <v>40.0</v>
      </c>
    </row>
    <row r="9" ht="15.75" customHeight="1">
      <c r="A9" s="14" t="s">
        <v>24</v>
      </c>
      <c r="B9" s="15" t="n">
        <f>SUM(COL_B_VALUES)</f>
        <v>53.25</v>
      </c>
      <c r="C9" s="15" t="n">
        <f>SUM(COL_C_VALUES)</f>
        <v>49.0</v>
      </c>
      <c r="D9" s="15" t="n">
        <f>SUM(COL_D_VALUES)</f>
        <v>54.0</v>
      </c>
      <c r="E9" s="15" t="n">
        <f>SUM(COL_E_VALUES)</f>
        <v>41.0</v>
      </c>
      <c r="F9" s="15" t="n">
        <f>SUM(COL_F_VALUES)</f>
        <v>31.0</v>
      </c>
      <c r="G9" s="15" t="n">
        <f>SUM(COL_G_VALUES)</f>
        <v>228.25</v>
      </c>
      <c r="I9" s="15" t="n">
        <f>SUM(COL_I_VALUES)</f>
        <v>51.0</v>
      </c>
      <c r="J9" s="15" t="n">
        <f>SUM(COL_J_VALUES)</f>
        <v>42.0</v>
      </c>
      <c r="K9" s="15" t="n">
        <f>SUM(COL_K_VALUES)</f>
        <v>45.0</v>
      </c>
      <c r="L9" s="15" t="n">
        <f>SUM(COL_L_VALUES)</f>
        <v>74.0</v>
      </c>
      <c r="M9" s="15" t="n">
        <f>SUM(COL_M_VALUES)</f>
        <v>50.63</v>
      </c>
      <c r="N9" s="15" t="n">
        <f>SUM(COL_N_VALUES)</f>
        <v>262.63</v>
      </c>
    </row>
  </sheetData>
  <mergeCells count="4">
    <mergeCell ref="D1:E1"/>
    <mergeCell ref="K1:L1"/>
    <mergeCell ref="B2:G2"/>
    <mergeCell ref="I2:N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2026-07-23T10:27:44Z</dcterms:created>
  <dc:creator>openpyxl</dc:creator>
</cp:coreProperties>
</file>